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" sheetId="1" r:id="rId5"/>
  </sheets>
  <definedNames/>
  <calcPr/>
</workbook>
</file>

<file path=xl/sharedStrings.xml><?xml version="1.0" encoding="utf-8"?>
<sst xmlns="http://schemas.openxmlformats.org/spreadsheetml/2006/main" count="52" uniqueCount="40">
  <si>
    <t>CubeRoot Calculator</t>
  </si>
  <si>
    <t>Event</t>
  </si>
  <si>
    <t>3x3</t>
  </si>
  <si>
    <t>Seed1</t>
  </si>
  <si>
    <t>Seed2</t>
  </si>
  <si>
    <t>#1</t>
  </si>
  <si>
    <t>#2</t>
  </si>
  <si>
    <t>#3</t>
  </si>
  <si>
    <t>#4</t>
  </si>
  <si>
    <t>#5</t>
  </si>
  <si>
    <t>tavg</t>
  </si>
  <si>
    <t>Best</t>
  </si>
  <si>
    <t>Avg</t>
  </si>
  <si>
    <t>t#4 (WPA&lt;=tavg)</t>
  </si>
  <si>
    <t>t#4 (BPA&lt;=tavg)</t>
  </si>
  <si>
    <t>t#5</t>
  </si>
  <si>
    <t>BAo5</t>
  </si>
  <si>
    <t>BPA</t>
  </si>
  <si>
    <t>WPA</t>
  </si>
  <si>
    <t>WAo5</t>
  </si>
  <si>
    <t>Mo5</t>
  </si>
  <si>
    <t>BestC</t>
  </si>
  <si>
    <t>Median</t>
  </si>
  <si>
    <t>WorstC</t>
  </si>
  <si>
    <t>Worst</t>
  </si>
  <si>
    <t>Mo2 (1~2)</t>
  </si>
  <si>
    <t>-</t>
  </si>
  <si>
    <t>Mo3 (1~3)</t>
  </si>
  <si>
    <t>Mo4 (1~4)</t>
  </si>
  <si>
    <t>Variance</t>
  </si>
  <si>
    <t>Best/Avg</t>
  </si>
  <si>
    <t>tmo3</t>
  </si>
  <si>
    <t>t#3</t>
  </si>
  <si>
    <t>t#4</t>
  </si>
  <si>
    <t>Avg有可能达到tavg的第4把的最大值</t>
  </si>
  <si>
    <t>Avg达到tavg的第5把的最大值</t>
  </si>
  <si>
    <t>Make COPY first!</t>
  </si>
  <si>
    <t>Type in boxes</t>
  </si>
  <si>
    <t>t=target</t>
  </si>
  <si>
    <t>Head-to-head BPA/WPA calc by Cary Huang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</si>
</sst>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25.0"/>
      <color theme="0"/>
      <name val="Roboto"/>
    </font>
    <font>
      <color theme="1"/>
      <name val="Arial"/>
      <scheme val="minor"/>
    </font>
    <font>
      <color theme="1"/>
      <name val="Roboto"/>
    </font>
    <font>
      <b/>
      <color theme="1"/>
      <name val="Roboto"/>
    </font>
    <font>
      <b/>
      <color theme="0"/>
      <name val="Roboto"/>
    </font>
    <font/>
    <font>
      <b/>
      <color rgb="FF34A853"/>
      <name val="Roboto"/>
    </font>
    <font>
      <b/>
      <color theme="7"/>
      <name val="Roboto"/>
    </font>
    <font>
      <b/>
      <color rgb="FFFFFFFF"/>
      <name val="Roboto"/>
    </font>
    <font>
      <color theme="0"/>
      <name val="Arial"/>
      <scheme val="minor"/>
    </font>
    <font>
      <color theme="0"/>
      <name val="Roboto"/>
    </font>
    <font>
      <b/>
      <color theme="0"/>
      <name val="Arial"/>
      <scheme val="minor"/>
    </font>
    <font>
      <color rgb="FFFFFFFF"/>
      <name val="Arial"/>
      <scheme val="minor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383838"/>
        <bgColor rgb="FF38383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horizontal="left" readingOrder="0" vertical="bottom"/>
    </xf>
    <xf borderId="0" fillId="2" fontId="2" numFmtId="0" xfId="0" applyAlignment="1" applyFont="1">
      <alignment horizontal="center"/>
    </xf>
    <xf borderId="0" fillId="2" fontId="2" numFmtId="0" xfId="0" applyAlignment="1" applyFont="1">
      <alignment horizontal="right"/>
    </xf>
    <xf borderId="0" fillId="2" fontId="3" numFmtId="2" xfId="0" applyAlignment="1" applyFont="1" applyNumberFormat="1">
      <alignment horizontal="right" vertical="bottom"/>
    </xf>
    <xf borderId="0" fillId="2" fontId="4" numFmtId="1" xfId="0" applyAlignment="1" applyFont="1" applyNumberFormat="1">
      <alignment horizontal="center" readingOrder="0" vertical="center"/>
    </xf>
    <xf borderId="0" fillId="2" fontId="4" numFmtId="1" xfId="0" applyAlignment="1" applyFont="1" applyNumberFormat="1">
      <alignment readingOrder="0"/>
    </xf>
    <xf borderId="0" fillId="2" fontId="3" numFmtId="2" xfId="0" applyAlignment="1" applyFont="1" applyNumberFormat="1">
      <alignment horizontal="center"/>
    </xf>
    <xf borderId="0" fillId="2" fontId="3" numFmtId="0" xfId="0" applyFont="1"/>
    <xf borderId="0" fillId="2" fontId="4" numFmtId="2" xfId="0" applyAlignment="1" applyFont="1" applyNumberFormat="1">
      <alignment horizontal="right"/>
    </xf>
    <xf borderId="0" fillId="2" fontId="3" numFmtId="0" xfId="0" applyAlignment="1" applyFont="1">
      <alignment vertical="center"/>
    </xf>
    <xf borderId="0" fillId="2" fontId="2" numFmtId="0" xfId="0" applyFont="1"/>
    <xf borderId="0" fillId="2" fontId="5" numFmtId="1" xfId="0" applyAlignment="1" applyFont="1" applyNumberFormat="1">
      <alignment readingOrder="0" vertical="bottom"/>
    </xf>
    <xf borderId="1" fillId="2" fontId="4" numFmtId="1" xfId="0" applyAlignment="1" applyBorder="1" applyFont="1" applyNumberFormat="1">
      <alignment horizontal="center" readingOrder="0" vertical="bottom"/>
    </xf>
    <xf borderId="2" fillId="0" fontId="6" numFmtId="0" xfId="0" applyBorder="1" applyFont="1"/>
    <xf borderId="3" fillId="0" fontId="6" numFmtId="0" xfId="0" applyBorder="1" applyFont="1"/>
    <xf borderId="0" fillId="2" fontId="3" numFmtId="1" xfId="0" applyAlignment="1" applyFont="1" applyNumberFormat="1">
      <alignment readingOrder="0" vertical="bottom"/>
    </xf>
    <xf borderId="0" fillId="2" fontId="4" numFmtId="1" xfId="0" applyAlignment="1" applyFont="1" applyNumberFormat="1">
      <alignment readingOrder="0" vertical="center"/>
    </xf>
    <xf borderId="0" fillId="2" fontId="4" numFmtId="1" xfId="0" applyAlignment="1" applyFont="1" applyNumberFormat="1">
      <alignment readingOrder="0" vertical="bottom"/>
    </xf>
    <xf borderId="0" fillId="2" fontId="7" numFmtId="1" xfId="0" applyAlignment="1" applyFont="1" applyNumberFormat="1">
      <alignment readingOrder="0"/>
    </xf>
    <xf borderId="0" fillId="2" fontId="8" numFmtId="1" xfId="0" applyAlignment="1" applyFont="1" applyNumberFormat="1">
      <alignment horizontal="center" readingOrder="0" vertical="bottom"/>
    </xf>
    <xf borderId="0" fillId="2" fontId="3" numFmtId="1" xfId="0" applyAlignment="1" applyFont="1" applyNumberFormat="1">
      <alignment horizontal="center" readingOrder="0" vertical="bottom"/>
    </xf>
    <xf borderId="0" fillId="2" fontId="4" numFmtId="1" xfId="0" applyAlignment="1" applyFont="1" applyNumberFormat="1">
      <alignment horizontal="center" vertical="bottom"/>
    </xf>
    <xf borderId="0" fillId="2" fontId="3" numFmtId="2" xfId="0" applyAlignment="1" applyFont="1" applyNumberFormat="1">
      <alignment horizontal="center" vertical="bottom"/>
    </xf>
    <xf borderId="0" fillId="2" fontId="7" numFmtId="1" xfId="0" applyAlignment="1" applyFont="1" applyNumberFormat="1">
      <alignment horizontal="center" readingOrder="0" vertical="bottom"/>
    </xf>
    <xf borderId="0" fillId="2" fontId="4" numFmtId="2" xfId="0" applyAlignment="1" applyFont="1" applyNumberFormat="1">
      <alignment horizontal="center"/>
    </xf>
    <xf borderId="0" fillId="2" fontId="4" numFmtId="1" xfId="0" applyAlignment="1" applyFont="1" applyNumberFormat="1">
      <alignment horizontal="center" readingOrder="0" vertical="bottom"/>
    </xf>
    <xf borderId="4" fillId="2" fontId="9" numFmtId="1" xfId="0" applyAlignment="1" applyBorder="1" applyFont="1" applyNumberFormat="1">
      <alignment horizontal="center" vertical="bottom"/>
    </xf>
    <xf borderId="0" fillId="2" fontId="10" numFmtId="0" xfId="0" applyFont="1"/>
    <xf borderId="0" fillId="2" fontId="11" numFmtId="2" xfId="0" applyAlignment="1" applyFont="1" applyNumberFormat="1">
      <alignment horizontal="center" readingOrder="0" vertical="bottom"/>
    </xf>
    <xf borderId="4" fillId="2" fontId="9" numFmtId="1" xfId="0" applyAlignment="1" applyBorder="1" applyFont="1" applyNumberFormat="1">
      <alignment horizontal="center" readingOrder="0" vertical="bottom"/>
    </xf>
    <xf borderId="5" fillId="2" fontId="9" numFmtId="1" xfId="0" applyAlignment="1" applyBorder="1" applyFont="1" applyNumberFormat="1">
      <alignment horizontal="center" vertical="bottom"/>
    </xf>
    <xf borderId="5" fillId="2" fontId="9" numFmtId="1" xfId="0" applyAlignment="1" applyBorder="1" applyFont="1" applyNumberFormat="1">
      <alignment horizontal="center" readingOrder="0" vertical="bottom"/>
    </xf>
    <xf borderId="6" fillId="2" fontId="9" numFmtId="1" xfId="0" applyAlignment="1" applyBorder="1" applyFont="1" applyNumberFormat="1">
      <alignment horizontal="center" vertical="bottom"/>
    </xf>
    <xf borderId="6" fillId="2" fontId="9" numFmtId="1" xfId="0" applyAlignment="1" applyBorder="1" applyFont="1" applyNumberFormat="1">
      <alignment horizontal="center" readingOrder="0" vertical="bottom"/>
    </xf>
    <xf borderId="0" fillId="2" fontId="9" numFmtId="1" xfId="0" applyAlignment="1" applyFont="1" applyNumberFormat="1">
      <alignment readingOrder="0"/>
    </xf>
    <xf borderId="7" fillId="2" fontId="9" numFmtId="0" xfId="0" applyAlignment="1" applyBorder="1" applyFont="1">
      <alignment horizontal="center" readingOrder="0" vertical="bottom"/>
    </xf>
    <xf borderId="0" fillId="2" fontId="11" numFmtId="1" xfId="0" applyAlignment="1" applyFont="1" applyNumberFormat="1">
      <alignment horizontal="right"/>
    </xf>
    <xf borderId="0" fillId="2" fontId="11" numFmtId="2" xfId="0" applyAlignment="1" applyFont="1" applyNumberFormat="1">
      <alignment horizontal="right"/>
    </xf>
    <xf borderId="0" fillId="2" fontId="3" numFmtId="1" xfId="0" applyAlignment="1" applyFont="1" applyNumberFormat="1">
      <alignment readingOrder="0"/>
    </xf>
    <xf borderId="0" fillId="2" fontId="4" numFmtId="2" xfId="0" applyAlignment="1" applyFont="1" applyNumberFormat="1">
      <alignment horizontal="right" vertical="bottom"/>
    </xf>
    <xf borderId="0" fillId="2" fontId="4" numFmtId="2" xfId="0" applyAlignment="1" applyFont="1" applyNumberFormat="1">
      <alignment readingOrder="0"/>
    </xf>
    <xf borderId="0" fillId="2" fontId="5" numFmtId="1" xfId="0" applyAlignment="1" applyFont="1" applyNumberFormat="1">
      <alignment readingOrder="0"/>
    </xf>
    <xf borderId="0" fillId="2" fontId="5" numFmtId="2" xfId="0" applyAlignment="1" applyFont="1" applyNumberFormat="1">
      <alignment horizontal="center" vertical="bottom"/>
    </xf>
    <xf borderId="0" fillId="2" fontId="5" numFmtId="1" xfId="0" applyAlignment="1" applyFont="1" applyNumberFormat="1">
      <alignment readingOrder="0" vertical="center"/>
    </xf>
    <xf borderId="0" fillId="2" fontId="11" numFmtId="2" xfId="0" applyAlignment="1" applyFont="1" applyNumberFormat="1">
      <alignment horizontal="center"/>
    </xf>
    <xf borderId="0" fillId="2" fontId="11" numFmtId="1" xfId="0" applyAlignment="1" applyFont="1" applyNumberFormat="1">
      <alignment readingOrder="0"/>
    </xf>
    <xf borderId="0" fillId="2" fontId="5" numFmtId="2" xfId="0" applyAlignment="1" applyFont="1" applyNumberFormat="1">
      <alignment horizontal="right" vertical="bottom"/>
    </xf>
    <xf borderId="0" fillId="2" fontId="5" numFmtId="2" xfId="0" applyAlignment="1" applyFont="1" applyNumberFormat="1">
      <alignment readingOrder="0"/>
    </xf>
    <xf borderId="0" fillId="2" fontId="11" numFmtId="2" xfId="0" applyAlignment="1" applyFont="1" applyNumberFormat="1">
      <alignment horizontal="center" vertical="bottom"/>
    </xf>
    <xf borderId="0" fillId="2" fontId="11" numFmtId="49" xfId="0" applyAlignment="1" applyFont="1" applyNumberFormat="1">
      <alignment readingOrder="0"/>
    </xf>
    <xf borderId="0" fillId="2" fontId="11" numFmtId="0" xfId="0" applyFont="1"/>
    <xf borderId="0" fillId="2" fontId="5" numFmtId="4" xfId="0" applyAlignment="1" applyFont="1" applyNumberFormat="1">
      <alignment horizontal="center" vertical="bottom"/>
    </xf>
    <xf borderId="0" fillId="2" fontId="5" numFmtId="1" xfId="0" applyAlignment="1" applyFont="1" applyNumberFormat="1">
      <alignment readingOrder="0" vertical="bottom"/>
    </xf>
    <xf borderId="0" fillId="2" fontId="11" numFmtId="0" xfId="0" applyAlignment="1" applyFont="1">
      <alignment readingOrder="0"/>
    </xf>
    <xf borderId="0" fillId="2" fontId="12" numFmtId="2" xfId="0" applyAlignment="1" applyFont="1" applyNumberFormat="1">
      <alignment horizontal="center"/>
    </xf>
    <xf borderId="0" fillId="2" fontId="5" numFmtId="1" xfId="0" applyAlignment="1" applyFont="1" applyNumberFormat="1">
      <alignment horizontal="center"/>
    </xf>
    <xf borderId="0" fillId="2" fontId="11" numFmtId="0" xfId="0" applyAlignment="1" applyFont="1">
      <alignment horizontal="center"/>
    </xf>
    <xf borderId="0" fillId="2" fontId="5" numFmtId="1" xfId="0" applyAlignment="1" applyFont="1" applyNumberFormat="1">
      <alignment horizontal="center" readingOrder="0" vertical="center"/>
    </xf>
    <xf borderId="7" fillId="2" fontId="5" numFmtId="1" xfId="0" applyAlignment="1" applyBorder="1" applyFont="1" applyNumberFormat="1">
      <alignment horizontal="center" readingOrder="0" vertical="bottom"/>
    </xf>
    <xf borderId="7" fillId="2" fontId="5" numFmtId="1" xfId="0" applyAlignment="1" applyBorder="1" applyFont="1" applyNumberFormat="1">
      <alignment horizontal="center" readingOrder="0"/>
    </xf>
    <xf borderId="0" fillId="2" fontId="3" numFmtId="2" xfId="0" applyAlignment="1" applyFont="1" applyNumberFormat="1">
      <alignment horizontal="center" readingOrder="0" vertical="bottom"/>
    </xf>
    <xf borderId="0" fillId="2" fontId="5" numFmtId="2" xfId="0" applyAlignment="1" applyFont="1" applyNumberFormat="1">
      <alignment horizontal="center" readingOrder="0"/>
    </xf>
    <xf borderId="0" fillId="2" fontId="10" numFmtId="0" xfId="0" applyAlignment="1" applyFont="1">
      <alignment readingOrder="0"/>
    </xf>
    <xf borderId="0" fillId="2" fontId="10" numFmtId="0" xfId="0" applyAlignment="1" applyFont="1">
      <alignment horizontal="center"/>
    </xf>
    <xf borderId="0" fillId="2" fontId="11" numFmtId="1" xfId="0" applyAlignment="1" applyFont="1" applyNumberFormat="1">
      <alignment horizontal="center" readingOrder="0" vertical="bottom"/>
    </xf>
    <xf borderId="0" fillId="2" fontId="5" numFmtId="1" xfId="0" applyAlignment="1" applyFont="1" applyNumberFormat="1">
      <alignment horizontal="center" vertical="bottom"/>
    </xf>
    <xf borderId="0" fillId="2" fontId="11" numFmtId="2" xfId="0" applyAlignment="1" applyFont="1" applyNumberFormat="1">
      <alignment horizontal="right" vertical="bottom"/>
    </xf>
    <xf borderId="0" fillId="2" fontId="5" numFmtId="2" xfId="0" applyAlignment="1" applyFont="1" applyNumberFormat="1">
      <alignment horizontal="right"/>
    </xf>
    <xf borderId="0" fillId="2" fontId="11" numFmtId="0" xfId="0" applyAlignment="1" applyFont="1">
      <alignment vertical="center"/>
    </xf>
    <xf borderId="0" fillId="2" fontId="13" numFmtId="0" xfId="0" applyAlignment="1" applyFont="1">
      <alignment horizontal="center" readingOrder="0"/>
    </xf>
    <xf borderId="0" fillId="2" fontId="11" numFmtId="1" xfId="0" applyAlignment="1" applyFont="1" applyNumberFormat="1">
      <alignment horizontal="left" readingOrder="0" vertical="bottom"/>
    </xf>
    <xf borderId="0" fillId="2" fontId="14" numFmtId="1" xfId="0" applyAlignment="1" applyFont="1" applyNumberFormat="1">
      <alignment readingOrder="0"/>
    </xf>
    <xf borderId="0" fillId="2" fontId="4" numFmtId="1" xfId="0" applyAlignment="1" applyFont="1" applyNumberFormat="1">
      <alignment horizontal="center"/>
    </xf>
    <xf borderId="0" fillId="2" fontId="3" numFmtId="1" xfId="0" applyAlignment="1" applyFont="1" applyNumberFormat="1">
      <alignment horizontal="right"/>
    </xf>
    <xf borderId="0" fillId="2" fontId="3" numFmtId="0" xfId="0" applyAlignment="1" applyFont="1">
      <alignment horizontal="center"/>
    </xf>
    <xf borderId="0" fillId="2" fontId="3" numFmtId="2" xfId="0" applyAlignment="1" applyFont="1" applyNumberFormat="1">
      <alignment horizontal="right"/>
    </xf>
    <xf borderId="0" fillId="2" fontId="8" numFmtId="1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2" pivot="0" name="Calc-style">
      <tableStyleElement dxfId="1" type="firstRowStripe"/>
      <tableStyleElement dxfId="2" type="secondRowStripe"/>
    </tableStyle>
    <tableStyle count="2" pivot="0" name="Calc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123825</xdr:colOff>
      <xdr:row>1</xdr:row>
      <xdr:rowOff>142875</xdr:rowOff>
    </xdr:from>
    <xdr:ext cx="266700" cy="266700"/>
    <xdr:pic>
      <xdr:nvPicPr>
        <xdr:cNvPr id="0" name="image2.png" title="图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</xdr:row>
      <xdr:rowOff>190500</xdr:rowOff>
    </xdr:from>
    <xdr:ext cx="295275" cy="171450"/>
    <xdr:pic>
      <xdr:nvPicPr>
        <xdr:cNvPr id="0" name="image1.png" title="图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4:B9" displayName="Table_1" name="Table_1" id="1">
  <tableColumns count="1">
    <tableColumn name="Column1" id="1"/>
  </tableColumns>
  <tableStyleInfo name="Calc-style" showColumnStripes="0" showFirstColumn="1" showLastColumn="1" showRowStripes="1"/>
</table>
</file>

<file path=xl/tables/table2.xml><?xml version="1.0" encoding="utf-8"?>
<table xmlns="http://schemas.openxmlformats.org/spreadsheetml/2006/main" headerRowCount="0" ref="F4:F9" displayName="Table_2" name="Table_2" id="2">
  <tableColumns count="1">
    <tableColumn name="Column1" id="1"/>
  </tableColumns>
  <tableStyleInfo name="Calc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twins.net/hthgrapher/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0"/>
    <col customWidth="1" min="2" max="2" width="25.13"/>
    <col customWidth="1" min="3" max="3" width="2.88"/>
    <col customWidth="1" hidden="1" min="4" max="4" width="6.38"/>
    <col customWidth="1" hidden="1" min="5" max="5" width="2.88"/>
    <col customWidth="1" min="6" max="6" width="6.38"/>
    <col customWidth="1" min="7" max="7" width="2.88"/>
    <col customWidth="1" hidden="1" min="8" max="8" width="6.38"/>
    <col customWidth="1" hidden="1" min="9" max="9" width="2.88"/>
    <col customWidth="1" min="10" max="10" width="6.38"/>
    <col customWidth="1" min="11" max="11" width="2.88"/>
    <col customWidth="1" min="12" max="12" width="9.5"/>
  </cols>
  <sheetData>
    <row r="1">
      <c r="A1" s="1" t="s">
        <v>0</v>
      </c>
      <c r="B1" s="2"/>
      <c r="C1" s="3"/>
      <c r="D1" s="2"/>
      <c r="E1" s="4"/>
      <c r="F1" s="5"/>
      <c r="G1" s="6"/>
      <c r="H1" s="7"/>
      <c r="I1" s="8"/>
      <c r="J1" s="9"/>
      <c r="K1" s="10"/>
      <c r="L1" s="11"/>
    </row>
    <row r="2">
      <c r="A2" s="12" t="s">
        <v>1</v>
      </c>
      <c r="B2" s="13" t="s">
        <v>2</v>
      </c>
      <c r="C2" s="14"/>
      <c r="D2" s="14"/>
      <c r="E2" s="14"/>
      <c r="F2" s="15"/>
      <c r="G2" s="11"/>
      <c r="H2" s="7"/>
      <c r="I2" s="16"/>
      <c r="J2" s="9"/>
      <c r="K2" s="17"/>
      <c r="L2" s="18"/>
    </row>
    <row r="3">
      <c r="A3" s="19"/>
      <c r="B3" s="20" t="s">
        <v>3</v>
      </c>
      <c r="C3" s="21"/>
      <c r="D3" s="22"/>
      <c r="E3" s="23"/>
      <c r="F3" s="24" t="s">
        <v>4</v>
      </c>
      <c r="G3" s="21"/>
      <c r="H3" s="22"/>
      <c r="I3" s="23"/>
      <c r="J3" s="25"/>
      <c r="K3" s="5"/>
      <c r="L3" s="26"/>
    </row>
    <row r="4">
      <c r="A4" s="12" t="s">
        <v>5</v>
      </c>
      <c r="B4" s="27">
        <v>310.0</v>
      </c>
      <c r="C4" s="28"/>
      <c r="D4" s="29">
        <f t="shared" ref="D4:D9" si="1">IFS(
  B4="", "",
  OR(B4="DNF", B4="DNS"), 9999999999,
  $B$2="FMC", B4,
  ISNUMBER(FIND(":", B4)), VALUE(LEFT(B4, FIND(":", B4)-1)) * 60 + VALUE(MID(B4, FIND(":", B4)+1, LEN(B4))),
  ISNUMBER(FIND(".", B4)), B4,
  NOT(ISNUMBER(FIND(".", B4))), B4/100
)</f>
        <v>3.1</v>
      </c>
      <c r="E4" s="28"/>
      <c r="F4" s="30">
        <v>484.0</v>
      </c>
      <c r="G4" s="11"/>
      <c r="H4" s="29">
        <f t="shared" ref="H4:H9" si="2">IFS(
  F4="", "",
  OR(F4="DNF", F4="DNS"), 9999999999,
  $B$2="FMC", F4,
  ISNUMBER(FIND(":", F4)), VALUE(LEFT(F4, FIND(":", F4)-1)) * 60 + VALUE(MID(F4, FIND(":", F4)+1, LEN(F4))),
  ISNUMBER(FIND(".", F4)), F4,
  NOT(ISNUMBER(FIND(".", F4))), F4/100
)</f>
        <v>4.84</v>
      </c>
      <c r="I4" s="11"/>
      <c r="J4" s="11"/>
      <c r="K4" s="11"/>
      <c r="L4" s="11"/>
    </row>
    <row r="5">
      <c r="A5" s="12" t="s">
        <v>6</v>
      </c>
      <c r="B5" s="31">
        <v>320.0</v>
      </c>
      <c r="C5" s="28"/>
      <c r="D5" s="29">
        <f t="shared" si="1"/>
        <v>3.2</v>
      </c>
      <c r="E5" s="28"/>
      <c r="F5" s="32">
        <v>666.0</v>
      </c>
      <c r="G5" s="11"/>
      <c r="H5" s="29">
        <f t="shared" si="2"/>
        <v>6.66</v>
      </c>
      <c r="I5" s="11"/>
      <c r="J5" s="11"/>
      <c r="K5" s="11"/>
      <c r="L5" s="11"/>
    </row>
    <row r="6">
      <c r="A6" s="12" t="s">
        <v>7</v>
      </c>
      <c r="B6" s="31">
        <v>276.0</v>
      </c>
      <c r="C6" s="28"/>
      <c r="D6" s="29">
        <f t="shared" si="1"/>
        <v>2.76</v>
      </c>
      <c r="E6" s="28"/>
      <c r="F6" s="32">
        <v>497.0</v>
      </c>
      <c r="G6" s="11"/>
      <c r="H6" s="29">
        <f t="shared" si="2"/>
        <v>4.97</v>
      </c>
      <c r="I6" s="11"/>
      <c r="J6" s="11"/>
      <c r="K6" s="11"/>
      <c r="L6" s="11"/>
    </row>
    <row r="7">
      <c r="A7" s="12" t="s">
        <v>8</v>
      </c>
      <c r="B7" s="31">
        <v>389.0</v>
      </c>
      <c r="C7" s="28"/>
      <c r="D7" s="29">
        <f t="shared" si="1"/>
        <v>3.89</v>
      </c>
      <c r="E7" s="28"/>
      <c r="F7" s="32">
        <v>531.0</v>
      </c>
      <c r="G7" s="11"/>
      <c r="H7" s="29">
        <f t="shared" si="2"/>
        <v>5.31</v>
      </c>
      <c r="I7" s="11"/>
      <c r="J7" s="11"/>
      <c r="K7" s="11"/>
      <c r="L7" s="11"/>
    </row>
    <row r="8">
      <c r="A8" s="12" t="s">
        <v>9</v>
      </c>
      <c r="B8" s="33">
        <v>399.0</v>
      </c>
      <c r="C8" s="28"/>
      <c r="D8" s="29">
        <f t="shared" si="1"/>
        <v>3.99</v>
      </c>
      <c r="E8" s="28"/>
      <c r="F8" s="34">
        <v>439.0</v>
      </c>
      <c r="G8" s="11"/>
      <c r="H8" s="29">
        <f t="shared" si="2"/>
        <v>4.39</v>
      </c>
      <c r="I8" s="11"/>
      <c r="J8" s="11"/>
      <c r="K8" s="11"/>
      <c r="L8" s="11"/>
    </row>
    <row r="9">
      <c r="A9" s="35" t="s">
        <v>10</v>
      </c>
      <c r="B9" s="36">
        <v>384.0</v>
      </c>
      <c r="C9" s="37"/>
      <c r="D9" s="29">
        <f t="shared" si="1"/>
        <v>3.84</v>
      </c>
      <c r="E9" s="38"/>
      <c r="F9" s="36">
        <v>526.0</v>
      </c>
      <c r="G9" s="8"/>
      <c r="H9" s="29">
        <f t="shared" si="2"/>
        <v>5.26</v>
      </c>
      <c r="I9" s="39"/>
      <c r="J9" s="40"/>
      <c r="K9" s="17"/>
      <c r="L9" s="41"/>
    </row>
    <row r="10">
      <c r="A10" s="42" t="s">
        <v>11</v>
      </c>
      <c r="B10" s="43">
        <f t="shared" ref="B10:B11" si="3">IFS(
  D10 = "", "",
  D10 &gt; 999999, "DNF",
  D10 &gt; 59.99, TEXT(INT(D10/60), "0") &amp; ":" &amp; TEXT(MOD(D10, 60), "00.00"),
  TRUE, D10
)</f>
        <v>2.76</v>
      </c>
      <c r="C10" s="44" t="str">
        <f t="shared" ref="C10:C11" si="4">IFERROR(IF(ISBLANK(E10), "", VLOOKUP(E10, Record!$B$1:$C$100, 2, FALSE)), "")</f>
        <v/>
      </c>
      <c r="D10" s="45">
        <f>IFERROR(SMALL(D4:D8, 1), "")</f>
        <v>2.76</v>
      </c>
      <c r="E10" s="46" t="str">
        <f t="shared" ref="E10:E11" si="5">IFS(
  B10="", "",
  B10 &lt;= VLOOKUP($A10, Current!$C$1:$BZ$101, MATCH($B$2, Current!$3:$3, 0)-4, FALSE), "WR",
  TRUE, ""
)</f>
        <v>#REF!</v>
      </c>
      <c r="F10" s="43">
        <f t="shared" ref="F10:F11" si="6">IFS(
  H10 = "", "",
  H10 &gt; 999999, "DNF",
  H10 &gt; 59.99, TEXT(INT(H10/60), "0") &amp; ":" &amp; TEXT(MOD(H10, 60), "00.00"),
  TRUE, H10
)</f>
        <v>4.39</v>
      </c>
      <c r="G10" s="44" t="str">
        <f t="shared" ref="G10:G11" si="7">IFERROR(IF(ISBLANK(I10), "", VLOOKUP(I10, Record!$B$1:$C$100, 2, FALSE)), "")</f>
        <v/>
      </c>
      <c r="H10" s="45">
        <f>IFERROR(SMALL(H4:H8, 1), "")</f>
        <v>4.39</v>
      </c>
      <c r="I10" s="46" t="str">
        <f t="shared" ref="I10:I11" si="8">IFS(
  F10="", "",
  F10 &lt;= VLOOKUP($A10, Current!$C$1:$BZ$101, MATCH($B$2, Current!$3:$3, 0)-4, FALSE), "WR",
  TRUE, ""
)</f>
        <v>#REF!</v>
      </c>
      <c r="J10" s="47"/>
      <c r="K10" s="44"/>
      <c r="L10" s="48"/>
    </row>
    <row r="11">
      <c r="A11" s="12" t="s">
        <v>12</v>
      </c>
      <c r="B11" s="43">
        <f t="shared" si="3"/>
        <v>3.4</v>
      </c>
      <c r="C11" s="44" t="str">
        <f t="shared" si="4"/>
        <v/>
      </c>
      <c r="D11" s="49">
        <f t="array" ref="D11">IFS(
    AND(ISNA(MATCH(B2, {"6x6","7x7","3BLD","FMC","4BLD","5BLD","MBLD"}, 0)), COUNTA(B4:B8) = 5), ROUND((SUM(D4:D8) - MAX(D4:D8) - MIN(D4:D8)) / 3, 2),
    AND(ISNA(MATCH(B2, {"6x6","7x7","3BLD","FMC","4BLD","5BLD","MBLD"}, 0)), COUNTA(B4:B8) &lt; 5), "",
    AND(NOT(ISNA(MATCH(B2, {"6x6","7x7","3BLD","FMC","4BLD","5BLD","MBLD"}, 0))), COUNTA(B4:B6) = 3), ROUND(SUM(D4:D6) / 3, 2),
    AND(NOT(ISNA(MATCH(B2, {"6x6","7x7","3BLD","FMC","4BLD","5BLD","MBLD"}, 0))), COUNTA(B4:B6) &lt; 3), ""
)
</f>
        <v>3.4</v>
      </c>
      <c r="E11" s="50" t="str">
        <f t="shared" si="5"/>
        <v>#REF!</v>
      </c>
      <c r="F11" s="43">
        <f t="shared" si="6"/>
        <v>5.04</v>
      </c>
      <c r="G11" s="44" t="str">
        <f t="shared" si="7"/>
        <v/>
      </c>
      <c r="H11" s="49">
        <f t="array" ref="H11">IFS(
    AND(ISNA(MATCH(F2, {"6x6","7x7","3BLD","FMC","4BLD","5BLD","MBLD"}, 0)), COUNTA(F4:F8) = 5), ROUND((SUM(H4:H8) - MAX(H4:H8) - MIN(H4:H8)) / 3, 2),
    AND(ISNA(MATCH(F2, {"6x6","7x7","3BLD","FMC","4BLD","5BLD","MBLD"}, 0)), COUNTA(F4:F8) &lt; 5), "",
    AND(NOT(ISNA(MATCH(F2, {"6x6","7x7","3BLD","FMC","4BLD","5BLD","MBLD"}, 0))), COUNTA(F4:F6) = 3), ROUND(SUM(H4:H6) / 3, 2),
    AND(NOT(ISNA(MATCH(F2, {"6x6","7x7","3BLD","FMC","4BLD","5BLD","MBLD"}, 0))), COUNTA(F4:F6) &lt; 3), ""
)
</f>
        <v>5.04</v>
      </c>
      <c r="I11" s="46" t="str">
        <f t="shared" si="8"/>
        <v>#REF!</v>
      </c>
      <c r="J11" s="47"/>
      <c r="K11" s="44"/>
      <c r="L11" s="28"/>
    </row>
    <row r="12">
      <c r="A12" s="35" t="s">
        <v>13</v>
      </c>
      <c r="B12" s="43">
        <f t="shared" ref="B12:B14" si="9">IFS(
  D12 = "", "",
  D12 = "ANY", "ANY",
  D12 = "NaN", "NaN",
  D12 &gt; 999999, "DNF",
  D12 &gt; 59.99, TEXT(INT(D12/60), "0") &amp; ":" &amp; TEXT(MOD(D12, 60), "00.00"),
  TRUE, D12
)</f>
        <v>5.232</v>
      </c>
      <c r="C12" s="37"/>
      <c r="D12" s="45">
        <f>IF(COUNTA(B4:B6) = 3, 
   IFS(
      (D9+0.004) * 3 - D4 - D5 - D6 + MIN(D4, D5, D6) &lt;= 0, "NaN",
      D25 &gt; D9+0.004, "NaN",
      TRUE, (D9+0.004) * 3 - D4 - D5 - D6 + MIN(D4, D5, D6)
   ), 
   ""
)</f>
        <v>5.232</v>
      </c>
      <c r="E12" s="38"/>
      <c r="F12" s="43" t="str">
        <f t="shared" ref="F12:F14" si="10">IFS(
  H12 = "", "",
  H12 = "ANY", "ANY",
  H12 = "NaN", "NaN",
  H12 &gt; 999999, "DNF",
  H12 &gt; 59.99, TEXT(INT(H12/60), "0") &amp; ":" &amp; TEXT(MOD(H12, 60), "00.00"),
  TRUE, H12
)</f>
        <v>NaN</v>
      </c>
      <c r="G12" s="37"/>
      <c r="H12" s="45" t="str">
        <f>IF(COUNTA(F4:F6) = 3, 
   IFS(
      (H9+0.004) * 3 - H4 - H5 - H6 + MIN(H4, H5, H6) &lt;= 0, "NaN",
      H25 &gt; H9+0.004, "NaN",
      TRUE, (H9+0.004) * 3 - H4 - H5 - H6 + MIN(H4, H5, H6)
   ), 
   ""
)</f>
        <v>NaN</v>
      </c>
      <c r="I12" s="46"/>
      <c r="J12" s="47"/>
      <c r="K12" s="44"/>
      <c r="L12" s="48"/>
    </row>
    <row r="13">
      <c r="A13" s="35" t="s">
        <v>14</v>
      </c>
      <c r="B13" s="43" t="str">
        <f t="shared" si="9"/>
        <v>ANY</v>
      </c>
      <c r="C13" s="37"/>
      <c r="D13" s="45" t="str">
        <f>IF(COUNTA(B4:B6) = 3, 
   IFS(
      (D9+0.004)* 3 - D4 - D5 - D6 + MAX(D4, D5, D6) &lt;= 0, "NaN",
      D25 &lt;= D9+0.004, "ANY",
      TRUE, (D9+0.004)* 3 - D4 - D5 - D6 + MAX(D4, D5, D6)
   ), 
   ""
)
</f>
        <v>ANY</v>
      </c>
      <c r="E13" s="38"/>
      <c r="F13" s="43">
        <f t="shared" si="10"/>
        <v>5.982</v>
      </c>
      <c r="G13" s="37"/>
      <c r="H13" s="45">
        <f>IF(COUNTA(F4:F6) = 3, 
   IFS(
      (H9+0.004)* 3 - H4 - H5 - H6 + MAX(H4, H5, H6) &lt;= 0, "NaN",
      H25 &lt;= H9+0.004, "ANY",
      TRUE, (H9+0.004)* 3 - H4 - H5 - H6 + MAX(H4, H5, H6)
   ), 
   ""
)
</f>
        <v>5.982</v>
      </c>
      <c r="I13" s="46"/>
      <c r="J13" s="47"/>
      <c r="K13" s="44"/>
      <c r="L13" s="48"/>
    </row>
    <row r="14">
      <c r="A14" s="35" t="s">
        <v>15</v>
      </c>
      <c r="B14" s="43" t="str">
        <f t="shared" si="9"/>
        <v>ANY</v>
      </c>
      <c r="C14" s="37"/>
      <c r="D14" s="45" t="str">
        <f>IFS(
  AND(LEN(D4)&gt;0, LEN(D5)&gt;0, LEN(D6)&gt;0, LEN(D7)&gt;0, LEN(D9)&gt;0, D9 &lt; D16), "NaN",
  AND(LEN(D4)&gt;0, LEN(D5)&gt;0, LEN(D6)&gt;0, LEN(D7)&gt;0, LEN(D9)&gt;0, D9 &gt;= D17), "ANY",
  AND(LEN(D4)&gt;0, LEN(D5)&gt;0, LEN(D6)&gt;0, LEN(D7)&gt;0, LEN(D9)&gt;0), 3*(D9+0.004) + MAX(D4:D7) + MIN(D4:D7) - D4 - D5 - D6 - D7,
  TRUE, ""
)</f>
        <v>ANY</v>
      </c>
      <c r="E14" s="38"/>
      <c r="F14" s="43">
        <f t="shared" si="10"/>
        <v>5.512</v>
      </c>
      <c r="G14" s="51"/>
      <c r="H14" s="45">
        <f>IFS(
  AND(LEN(H4)&gt;0, LEN(H5)&gt;0, LEN(H6)&gt;0, LEN(H7)&gt;0, LEN(H9)&gt;0, H9 &lt; H16), "NaN",
  AND(LEN(H4)&gt;0, LEN(H5)&gt;0, LEN(H6)&gt;0, LEN(H7)&gt;0, LEN(H9)&gt;0, H9 &gt;= H17), "ANY",
  AND(LEN(H4)&gt;0, LEN(H5)&gt;0, LEN(H6)&gt;0, LEN(H7)&gt;0, LEN(H9)&gt;0), 3*(H9+0.004) + MAX(H4:H7) + MIN(H4:H7) - H4 - H5 - H6 - H7,
  TRUE, ""
)</f>
        <v>5.512</v>
      </c>
      <c r="I14" s="46"/>
      <c r="J14" s="47"/>
      <c r="K14" s="44"/>
      <c r="L14" s="48"/>
    </row>
    <row r="15">
      <c r="A15" s="12" t="s">
        <v>16</v>
      </c>
      <c r="B15" s="52">
        <f t="shared" ref="B15:B26" si="11">IFS(
  D15 = "", "",
  D15 &gt; 999999, "DNF",
  D15 &gt; 59.99, TEXT(INT(D15/60), "0") &amp; ":" &amp; TEXT(MOD(D15, 60), "00.00"),
  TRUE, D15
)</f>
        <v>3.02</v>
      </c>
      <c r="C15" s="44" t="str">
        <f t="shared" ref="C15:C23" si="12">IFERROR(IF(ISBLANK(E15), "", VLOOKUP(E15, Record!$B$1:$C$100, 2, FALSE)), "")</f>
        <v/>
      </c>
      <c r="D15" s="49">
        <f>IF(OR(ISBLANK(B7), ISBLANK(B8)), "", ROUND(AVERAGE(SMALL(D4:D8, 1), SMALL(D4:D8, 2), SMALL(D4:D8, 3)), 2))</f>
        <v>3.02</v>
      </c>
      <c r="E15" s="50" t="str">
        <f t="shared" ref="E15:E23" si="13">IFS(
  B15="", "",
  B15 &lt;= VLOOKUP($A15, Current!$C$1:$BZ$101, MATCH($B$2, Current!$3:$3, 0)-4, FALSE), "WR",
  TRUE, ""
)</f>
        <v>#REF!</v>
      </c>
      <c r="F15" s="43">
        <f t="shared" ref="F15:F26" si="14">IFS(
  H15 = "", "",
  H15 &gt; 999999, "DNF",
  H15 &gt; 59.99, TEXT(INT(H15/60), "0") &amp; ":" &amp; TEXT(MOD(H15, 60), "00.00"),
  TRUE, H15
)</f>
        <v>4.73</v>
      </c>
      <c r="G15" s="44" t="str">
        <f t="shared" ref="G15:G23" si="15">IFERROR(IF(ISBLANK(I15), "", VLOOKUP(I15, Record!$B$1:$C$100, 2, FALSE)), "")</f>
        <v/>
      </c>
      <c r="H15" s="49">
        <f>IF(OR(ISBLANK(F7), ISBLANK(F8)), "", ROUND(AVERAGE(SMALL(H4:H8, 1), SMALL(H4:H8, 2), SMALL(H4:H8, 3)), 2))</f>
        <v>4.73</v>
      </c>
      <c r="I15" s="46" t="str">
        <f t="shared" ref="I15:I23" si="16">IFS(
  F15="", "",
  F15 &lt;= VLOOKUP($A15, Current!$C$1:$BZ$101, MATCH($B$2, Current!$3:$3, 0)-4, FALSE), "WR",
  TRUE, ""
)</f>
        <v>#REF!</v>
      </c>
      <c r="J15" s="47"/>
      <c r="K15" s="44"/>
      <c r="L15" s="48"/>
    </row>
    <row r="16">
      <c r="A16" s="53" t="s">
        <v>17</v>
      </c>
      <c r="B16" s="43">
        <f t="shared" si="11"/>
        <v>3.02</v>
      </c>
      <c r="C16" s="44" t="str">
        <f t="shared" si="12"/>
        <v/>
      </c>
      <c r="D16" s="49">
        <f>IF(OR(ISBLANK(B4), ISBLANK(B5), ISBLANK(B6), ISBLANK(B7)), "", ROUND((D4 + D5 + D6 + D7 - MAX(D4:D7)) / 3, 2))</f>
        <v>3.02</v>
      </c>
      <c r="E16" s="46" t="str">
        <f t="shared" si="13"/>
        <v>#REF!</v>
      </c>
      <c r="F16" s="43">
        <f t="shared" si="14"/>
        <v>5.04</v>
      </c>
      <c r="G16" s="44" t="str">
        <f t="shared" si="15"/>
        <v/>
      </c>
      <c r="H16" s="49">
        <f>IF(OR(ISBLANK(F4), ISBLANK(F5), ISBLANK(F6), ISBLANK(F7)), "", ROUND((H4 + H5 + H6 + H7 - MAX(H4:H7)) / 3, 2))</f>
        <v>5.04</v>
      </c>
      <c r="I16" s="46" t="str">
        <f t="shared" si="16"/>
        <v>#REF!</v>
      </c>
      <c r="J16" s="47"/>
      <c r="K16" s="44"/>
      <c r="L16" s="48"/>
    </row>
    <row r="17">
      <c r="A17" s="53" t="s">
        <v>18</v>
      </c>
      <c r="B17" s="43">
        <f t="shared" si="11"/>
        <v>3.4</v>
      </c>
      <c r="C17" s="44" t="str">
        <f t="shared" si="12"/>
        <v/>
      </c>
      <c r="D17" s="49">
        <f>IF(OR(ISBLANK(B4), ISBLANK(B5), ISBLANK(B6), ISBLANK(B7)), "", ROUND((D4 + D5 + D6 + D7 - MIN(D4:D7)) / 3, 2))</f>
        <v>3.4</v>
      </c>
      <c r="E17" s="46" t="str">
        <f t="shared" si="13"/>
        <v>#REF!</v>
      </c>
      <c r="F17" s="43">
        <f t="shared" si="14"/>
        <v>5.65</v>
      </c>
      <c r="G17" s="44" t="str">
        <f t="shared" si="15"/>
        <v/>
      </c>
      <c r="H17" s="49">
        <f>IF(OR(ISBLANK(F4), ISBLANK(F5), ISBLANK(F6), ISBLANK(F7)), "", ROUND((H4 + H5 + H6 + H7 - MIN(H4:H7)) / 3, 2))</f>
        <v>5.65</v>
      </c>
      <c r="I17" s="46" t="str">
        <f t="shared" si="16"/>
        <v>#REF!</v>
      </c>
      <c r="J17" s="47"/>
      <c r="K17" s="44"/>
      <c r="L17" s="48"/>
    </row>
    <row r="18">
      <c r="A18" s="42" t="s">
        <v>19</v>
      </c>
      <c r="B18" s="43">
        <f t="shared" si="11"/>
        <v>3.69</v>
      </c>
      <c r="C18" s="44" t="str">
        <f t="shared" si="12"/>
        <v/>
      </c>
      <c r="D18" s="45">
        <f>IF(OR(ISBLANK(B7), ISBLANK(B8)), "", ROUND(AVERAGE(LARGE(D4:D8, 1), LARGE(D4:D8, 2), LARGE(D4:D8, 3)), 2))</f>
        <v>3.69</v>
      </c>
      <c r="E18" s="46" t="str">
        <f t="shared" si="13"/>
        <v>#REF!</v>
      </c>
      <c r="F18" s="43">
        <f t="shared" si="14"/>
        <v>5.65</v>
      </c>
      <c r="G18" s="44" t="str">
        <f t="shared" si="15"/>
        <v/>
      </c>
      <c r="H18" s="45">
        <f>IF(OR(ISBLANK(F7), ISBLANK(F8)), "", ROUND(AVERAGE(LARGE(H4:H8, 1), LARGE(H4:H8, 2), LARGE(H4:H8, 3)), 2))</f>
        <v>5.65</v>
      </c>
      <c r="I18" s="46" t="str">
        <f t="shared" si="16"/>
        <v>#REF!</v>
      </c>
      <c r="J18" s="47"/>
      <c r="K18" s="44"/>
      <c r="L18" s="48"/>
    </row>
    <row r="19">
      <c r="A19" s="42" t="s">
        <v>20</v>
      </c>
      <c r="B19" s="43">
        <f t="shared" si="11"/>
        <v>3.39</v>
      </c>
      <c r="C19" s="44" t="str">
        <f t="shared" si="12"/>
        <v/>
      </c>
      <c r="D19" s="45">
        <f>IF(OR(ISBLANK(B4), ISBLANK(B5), ISBLANK(B6), ISBLANK(B7), ISBLANK(B8)), "", ROUND(AVERAGE(D4:D8), 2))</f>
        <v>3.39</v>
      </c>
      <c r="E19" s="46" t="str">
        <f t="shared" si="13"/>
        <v>#REF!</v>
      </c>
      <c r="F19" s="43">
        <f t="shared" si="14"/>
        <v>5.23</v>
      </c>
      <c r="G19" s="44" t="str">
        <f t="shared" si="15"/>
        <v/>
      </c>
      <c r="H19" s="45">
        <f>IF(OR(ISBLANK(F4), ISBLANK(F5), ISBLANK(F6), ISBLANK(F7), ISBLANK(F8)), "", ROUND(AVERAGE(H4:H8), 2))</f>
        <v>5.23</v>
      </c>
      <c r="I19" s="46" t="str">
        <f t="shared" si="16"/>
        <v>#REF!</v>
      </c>
      <c r="J19" s="47"/>
      <c r="K19" s="44"/>
      <c r="L19" s="48"/>
    </row>
    <row r="20">
      <c r="A20" s="42" t="s">
        <v>21</v>
      </c>
      <c r="B20" s="43">
        <f t="shared" si="11"/>
        <v>3.1</v>
      </c>
      <c r="C20" s="44" t="str">
        <f t="shared" si="12"/>
        <v/>
      </c>
      <c r="D20" s="45">
        <f>IF(OR(ISBLANK(B4), ISBLANK(B5), ISBLANK(B6), ISBLANK(B7), ISBLANK(B8)), "", IFERROR(SMALL(D4:D8, 2), ""))</f>
        <v>3.1</v>
      </c>
      <c r="E20" s="46" t="str">
        <f t="shared" si="13"/>
        <v>#REF!</v>
      </c>
      <c r="F20" s="43">
        <f t="shared" si="14"/>
        <v>4.84</v>
      </c>
      <c r="G20" s="44" t="str">
        <f t="shared" si="15"/>
        <v/>
      </c>
      <c r="H20" s="45">
        <f>IF(OR(ISBLANK(F4), ISBLANK(F5), ISBLANK(F6), ISBLANK(F7), ISBLANK(F8)), "", IFERROR(SMALL(H4:H8, 2), ""))</f>
        <v>4.84</v>
      </c>
      <c r="I20" s="46" t="str">
        <f t="shared" si="16"/>
        <v>#REF!</v>
      </c>
      <c r="J20" s="47"/>
      <c r="K20" s="44"/>
      <c r="L20" s="48"/>
    </row>
    <row r="21">
      <c r="A21" s="42" t="s">
        <v>22</v>
      </c>
      <c r="B21" s="43">
        <f t="shared" si="11"/>
        <v>3.2</v>
      </c>
      <c r="C21" s="44" t="str">
        <f t="shared" si="12"/>
        <v/>
      </c>
      <c r="D21" s="45">
        <f>IF(OR(ISBLANK(B4), ISBLANK(B5), ISBLANK(B6)), "", IFERROR(MEDIAN(D4:D8), ""))</f>
        <v>3.2</v>
      </c>
      <c r="E21" s="46" t="str">
        <f t="shared" si="13"/>
        <v>#REF!</v>
      </c>
      <c r="F21" s="43">
        <f t="shared" si="14"/>
        <v>4.97</v>
      </c>
      <c r="G21" s="44" t="str">
        <f t="shared" si="15"/>
        <v/>
      </c>
      <c r="H21" s="45">
        <f>IF(OR(ISBLANK(F4), ISBLANK(F5), ISBLANK(F6)), "", IFERROR(MEDIAN(H4:H8), ""))</f>
        <v>4.97</v>
      </c>
      <c r="I21" s="46" t="str">
        <f t="shared" si="16"/>
        <v>#REF!</v>
      </c>
      <c r="J21" s="47"/>
      <c r="K21" s="44"/>
      <c r="L21" s="48"/>
    </row>
    <row r="22">
      <c r="A22" s="42" t="s">
        <v>23</v>
      </c>
      <c r="B22" s="43">
        <f t="shared" si="11"/>
        <v>3.89</v>
      </c>
      <c r="C22" s="44" t="str">
        <f t="shared" si="12"/>
        <v/>
      </c>
      <c r="D22" s="45">
        <f>IF(OR(ISBLANK(B4), ISBLANK(B5), ISBLANK(B6), ISBLANK(B7), ISBLANK(B8)), "", IFERROR(LARGE(D4:D8, 2), ""))</f>
        <v>3.89</v>
      </c>
      <c r="E22" s="46" t="str">
        <f t="shared" si="13"/>
        <v>#REF!</v>
      </c>
      <c r="F22" s="43">
        <f t="shared" si="14"/>
        <v>5.31</v>
      </c>
      <c r="G22" s="44" t="str">
        <f t="shared" si="15"/>
        <v/>
      </c>
      <c r="H22" s="45">
        <f>IF(OR(ISBLANK(F4), ISBLANK(F5), ISBLANK(F6), ISBLANK(F7), ISBLANK(F8)), "", IFERROR(LARGE(H4:H8, 2), ""))</f>
        <v>5.31</v>
      </c>
      <c r="I22" s="46" t="str">
        <f t="shared" si="16"/>
        <v>#REF!</v>
      </c>
      <c r="J22" s="47"/>
      <c r="K22" s="44"/>
      <c r="L22" s="48"/>
    </row>
    <row r="23">
      <c r="A23" s="42" t="s">
        <v>24</v>
      </c>
      <c r="B23" s="43">
        <f t="shared" si="11"/>
        <v>3.99</v>
      </c>
      <c r="C23" s="44" t="str">
        <f t="shared" si="12"/>
        <v/>
      </c>
      <c r="D23" s="45">
        <f>IFERROR(LARGE(D4:D8, 1), "")</f>
        <v>3.99</v>
      </c>
      <c r="E23" s="46" t="str">
        <f t="shared" si="13"/>
        <v>#REF!</v>
      </c>
      <c r="F23" s="43">
        <f t="shared" si="14"/>
        <v>6.66</v>
      </c>
      <c r="G23" s="44" t="str">
        <f t="shared" si="15"/>
        <v/>
      </c>
      <c r="H23" s="45">
        <f>IFERROR(LARGE(H4:H8, 1), "")</f>
        <v>6.66</v>
      </c>
      <c r="I23" s="46" t="str">
        <f t="shared" si="16"/>
        <v>#REF!</v>
      </c>
      <c r="J23" s="47"/>
      <c r="K23" s="44"/>
      <c r="L23" s="48"/>
    </row>
    <row r="24">
      <c r="A24" s="12" t="s">
        <v>25</v>
      </c>
      <c r="B24" s="43">
        <f t="shared" si="11"/>
        <v>3.15</v>
      </c>
      <c r="C24" s="54" t="s">
        <v>26</v>
      </c>
      <c r="D24" s="45">
        <f>IF(OR(ISBLANK(B4), ISBLANK(B5)), "", ROUND(SUM(D4:D5)/2, 2))</f>
        <v>3.15</v>
      </c>
      <c r="E24" s="54" t="s">
        <v>26</v>
      </c>
      <c r="F24" s="43">
        <f t="shared" si="14"/>
        <v>5.75</v>
      </c>
      <c r="G24" s="54" t="s">
        <v>26</v>
      </c>
      <c r="H24" s="45">
        <f>IF(OR(ISBLANK(F4), ISBLANK(F5)), "", ROUND(SUM(H4:H5)/2, 2))</f>
        <v>5.75</v>
      </c>
      <c r="I24" s="54" t="s">
        <v>26</v>
      </c>
      <c r="J24" s="47"/>
      <c r="K24" s="44"/>
      <c r="L24" s="48"/>
    </row>
    <row r="25">
      <c r="A25" s="12" t="s">
        <v>27</v>
      </c>
      <c r="B25" s="43">
        <f t="shared" si="11"/>
        <v>3.02</v>
      </c>
      <c r="C25" s="46" t="s">
        <v>26</v>
      </c>
      <c r="D25" s="49">
        <f>IF(OR(ISBLANK(B4), ISBLANK(B5), ISBLANK(B6)), "", ROUND(SUM(D4:D6)/3, 2))</f>
        <v>3.02</v>
      </c>
      <c r="E25" s="46" t="s">
        <v>26</v>
      </c>
      <c r="F25" s="43">
        <f t="shared" si="14"/>
        <v>5.49</v>
      </c>
      <c r="G25" s="46" t="s">
        <v>26</v>
      </c>
      <c r="H25" s="49">
        <f>IF(OR(ISBLANK(F4), ISBLANK(F5), ISBLANK(F6)), "", ROUND(SUM(H4:H6)/3, 2))</f>
        <v>5.49</v>
      </c>
      <c r="I25" s="46" t="s">
        <v>26</v>
      </c>
      <c r="J25" s="47"/>
      <c r="K25" s="44"/>
      <c r="L25" s="48"/>
    </row>
    <row r="26">
      <c r="A26" s="12" t="s">
        <v>28</v>
      </c>
      <c r="B26" s="43">
        <f t="shared" si="11"/>
        <v>3.24</v>
      </c>
      <c r="C26" s="46" t="s">
        <v>26</v>
      </c>
      <c r="D26" s="45">
        <f>IF(OR(ISBLANK(B4), ISBLANK(B5), ISBLANK(B6), ISBLANK(B7)), "", ROUND(SUM(D4:D7)/4, 2))</f>
        <v>3.24</v>
      </c>
      <c r="E26" s="46" t="s">
        <v>26</v>
      </c>
      <c r="F26" s="43">
        <f t="shared" si="14"/>
        <v>5.45</v>
      </c>
      <c r="G26" s="46" t="s">
        <v>26</v>
      </c>
      <c r="H26" s="45">
        <f>IF(OR(ISBLANK(F4), ISBLANK(F5), ISBLANK(F6), ISBLANK(F7)), "", ROUND(SUM(H4:H7)/4, 2))</f>
        <v>5.45</v>
      </c>
      <c r="I26" s="46" t="s">
        <v>26</v>
      </c>
      <c r="J26" s="47"/>
      <c r="K26" s="44"/>
      <c r="L26" s="48"/>
    </row>
    <row r="27">
      <c r="A27" s="42" t="s">
        <v>29</v>
      </c>
      <c r="B27" s="55">
        <f t="shared" ref="B27:B28" si="17">D27</f>
        <v>0.28177</v>
      </c>
      <c r="C27" s="44" t="str">
        <f t="shared" ref="C27:C28" si="18">IFERROR(IF(ISBLANK(E27), "", VLOOKUP(E27, Record!$B$1:$C$100, 2, FALSE)), "")</f>
        <v/>
      </c>
      <c r="D27" s="45">
        <f>IFS(
  AND(NOT(ISBLANK(B4)), NOT(ISBLANK(B5)), NOT(ISBLANK(B6)), ISBLANK(B7), ISBLANK(B8)), VAR(D4:D6),
  AND(NOT(ISBLANK(B4)), NOT(ISBLANK(B5)), NOT(ISBLANK(B6)), NOT(ISBLANK(B7)), NOT(ISBLANK(B8))), VAR(D4:D8),
  TRUE, ""
)</f>
        <v>0.28177</v>
      </c>
      <c r="E27" s="46" t="str">
        <f t="shared" ref="E27:E28" si="19">IFS(
  B27="", "",
  B27 &lt;= VLOOKUP($A27, Current!$C$1:$BZ$101, MATCH($B$2, Current!$3:$3, 0)-4, FALSE), "WR",
  TRUE, ""
)</f>
        <v>#REF!</v>
      </c>
      <c r="F27" s="55">
        <f t="shared" ref="F27:F28" si="20">H27</f>
        <v>0.74413</v>
      </c>
      <c r="G27" s="44" t="str">
        <f t="shared" ref="G27:G28" si="21">IFERROR(IF(ISBLANK(I27), "", VLOOKUP(I27, Record!$B$1:$C$100, 2, FALSE)), "")</f>
        <v/>
      </c>
      <c r="H27" s="45">
        <f>IFS(
  AND(NOT(ISBLANK(F4)), NOT(ISBLANK(F5)), NOT(ISBLANK(F6)), ISBLANK(F7), ISBLANK(F8)), VAR(H4:H6),
  AND(NOT(ISBLANK(F4)), NOT(ISBLANK(F5)), NOT(ISBLANK(F6)), NOT(ISBLANK(F7)), NOT(ISBLANK(F8))), VAR(H4:H8),
  TRUE, ""
)</f>
        <v>0.74413</v>
      </c>
      <c r="I27" s="46" t="str">
        <f t="shared" ref="I27:I28" si="22">IFS(
  F27="", "",
  F27 &lt;= VLOOKUP($A27, Current!$C$1:$BZ$101, MATCH($B$2, Current!$3:$3, 0)-4, FALSE), "WR",
  TRUE, ""
)</f>
        <v>#REF!</v>
      </c>
      <c r="J27" s="47"/>
      <c r="K27" s="44"/>
      <c r="L27" s="48"/>
    </row>
    <row r="28">
      <c r="A28" s="48" t="s">
        <v>30</v>
      </c>
      <c r="B28" s="55">
        <f t="shared" si="17"/>
        <v>0.8117647059</v>
      </c>
      <c r="C28" s="44" t="str">
        <f t="shared" si="18"/>
        <v/>
      </c>
      <c r="D28" s="45">
        <f>IFS(
  AND(NOT(ISBLANK(B4)), NOT(ISBLANK(B5)), NOT(ISBLANK(B6)), ISBLANK(B7), ISBLANK(B8)), D10/D11,
  AND(NOT(ISBLANK(B4)), NOT(ISBLANK(B5)), NOT(ISBLANK(B6)), NOT(ISBLANK(B7)), NOT(ISBLANK(B8))), D10/D11,
  TRUE, ""
)</f>
        <v>0.8117647059</v>
      </c>
      <c r="E28" s="46" t="str">
        <f t="shared" si="19"/>
        <v>#REF!</v>
      </c>
      <c r="F28" s="55">
        <f t="shared" si="20"/>
        <v>0.871031746</v>
      </c>
      <c r="G28" s="44" t="str">
        <f t="shared" si="21"/>
        <v/>
      </c>
      <c r="H28" s="45">
        <f>IFS(
  AND(NOT(ISBLANK(F4)), NOT(ISBLANK(F5)), NOT(ISBLANK(F6)), ISBLANK(F7), ISBLANK(F8)), H10/H11,
  AND(NOT(ISBLANK(F4)), NOT(ISBLANK(F5)), NOT(ISBLANK(F6)), NOT(ISBLANK(F7)), NOT(ISBLANK(F8))), H10/H11,
  TRUE, ""
)</f>
        <v>0.871031746</v>
      </c>
      <c r="I28" s="46" t="str">
        <f t="shared" si="22"/>
        <v>#REF!</v>
      </c>
      <c r="J28" s="47"/>
      <c r="K28" s="44"/>
      <c r="L28" s="48"/>
    </row>
    <row r="29">
      <c r="A29" s="42"/>
      <c r="B29" s="56"/>
      <c r="C29" s="37"/>
      <c r="D29" s="57"/>
      <c r="E29" s="38"/>
      <c r="F29" s="58"/>
      <c r="G29" s="51"/>
      <c r="H29" s="49"/>
      <c r="I29" s="46"/>
      <c r="J29" s="47"/>
      <c r="K29" s="44"/>
      <c r="L29" s="48"/>
    </row>
    <row r="30">
      <c r="A30" s="19" t="s">
        <v>31</v>
      </c>
      <c r="B30" s="59"/>
      <c r="C30" s="37"/>
      <c r="D30" s="29" t="str">
        <f>IFS(
  B30="", "",
  OR(B30="DNF", B30="DNS"), 9999999999,
  $B$2="FMC", B30,
  ISNUMBER(FIND(":", B30)), VALUE(LEFT(B30, FIND(":", B30)-1)) * 60 + VALUE(MID(B30, FIND(":", B30)+1, LEN(B30))),
  ISNUMBER(FIND(".", B30)), B30,
  NOT(ISNUMBER(FIND(".", B30))), B30/100
)</f>
        <v/>
      </c>
      <c r="E30" s="38"/>
      <c r="F30" s="60"/>
      <c r="G30" s="19"/>
      <c r="H30" s="61" t="str">
        <f>IFS(
  F30="", "",
  OR(F30="DNF", F30="DNS"), 9999999999,
  $B$2="FMC", F30,
  ISNUMBER(FIND(":", F30)), VALUE(LEFT(F30, FIND(":", F30)-1)) * 60 + VALUE(MID(F30, FIND(":", F30)+1, LEN(F30))),
  ISNUMBER(FIND(".", F30)), F30,
  NOT(ISNUMBER(FIND(".", F30))), F30/100
)</f>
        <v/>
      </c>
      <c r="I30" s="39"/>
      <c r="J30" s="40"/>
      <c r="K30" s="17"/>
      <c r="L30" s="41"/>
    </row>
    <row r="31">
      <c r="A31" s="35" t="s">
        <v>32</v>
      </c>
      <c r="B31" s="62" t="str">
        <f>IF(AND(LEN(D4)&gt;0, LEN(D5)&gt;0, LEN(D30)&gt;0, LEN(D6)=0, LEN(D7)=0, LEN(D8)=0), 3*(D30+0.004) - D4 - D5, "")</f>
        <v/>
      </c>
      <c r="C31" s="37"/>
      <c r="D31" s="29"/>
      <c r="E31" s="38"/>
      <c r="F31" s="62" t="str">
        <f>IF(AND(LEN(H4)&gt;0, LEN(H5)&gt;0, LEN(H30)&gt;0, LEN(H6)=0, LEN(H7)=0, LEN(H8)=0), 3*(H30+0.004) - H4 - H5, "")</f>
        <v/>
      </c>
      <c r="G31" s="51"/>
      <c r="H31" s="49"/>
      <c r="I31" s="46"/>
      <c r="J31" s="47"/>
      <c r="K31" s="44"/>
      <c r="L31" s="48"/>
    </row>
    <row r="32">
      <c r="A32" s="63"/>
      <c r="B32" s="64"/>
      <c r="C32" s="65"/>
      <c r="D32" s="66"/>
      <c r="E32" s="67"/>
      <c r="F32" s="58"/>
      <c r="G32" s="28"/>
      <c r="H32" s="45"/>
      <c r="I32" s="51"/>
      <c r="J32" s="68"/>
      <c r="K32" s="69"/>
      <c r="L32" s="51"/>
    </row>
    <row r="33">
      <c r="A33" s="35" t="s">
        <v>33</v>
      </c>
      <c r="B33" s="70" t="s">
        <v>34</v>
      </c>
      <c r="C33" s="65"/>
      <c r="D33" s="66"/>
      <c r="E33" s="67"/>
      <c r="F33" s="58"/>
      <c r="G33" s="28"/>
      <c r="H33" s="45"/>
      <c r="I33" s="51"/>
      <c r="J33" s="68"/>
      <c r="K33" s="69"/>
      <c r="L33" s="51"/>
    </row>
    <row r="34">
      <c r="A34" s="35" t="s">
        <v>15</v>
      </c>
      <c r="B34" s="70" t="s">
        <v>35</v>
      </c>
      <c r="C34" s="65"/>
      <c r="D34" s="66"/>
      <c r="E34" s="67"/>
      <c r="F34" s="58"/>
      <c r="G34" s="28"/>
      <c r="H34" s="45"/>
      <c r="I34" s="51"/>
      <c r="J34" s="68"/>
      <c r="K34" s="69"/>
      <c r="L34" s="51"/>
    </row>
    <row r="35">
      <c r="A35" s="63"/>
      <c r="B35" s="64"/>
      <c r="C35" s="65"/>
      <c r="D35" s="66"/>
      <c r="E35" s="67"/>
      <c r="F35" s="58"/>
      <c r="G35" s="28"/>
      <c r="H35" s="45"/>
      <c r="I35" s="51"/>
      <c r="J35" s="68"/>
      <c r="K35" s="69"/>
      <c r="L35" s="51"/>
    </row>
    <row r="36">
      <c r="A36" s="63" t="s">
        <v>36</v>
      </c>
      <c r="B36" s="64"/>
      <c r="C36" s="65"/>
      <c r="D36" s="66"/>
      <c r="E36" s="67"/>
      <c r="F36" s="58"/>
      <c r="G36" s="28"/>
      <c r="H36" s="45"/>
      <c r="I36" s="51"/>
      <c r="J36" s="68"/>
      <c r="K36" s="69"/>
      <c r="L36" s="51"/>
    </row>
    <row r="37">
      <c r="A37" s="71" t="s">
        <v>37</v>
      </c>
      <c r="B37" s="64"/>
      <c r="C37" s="28"/>
      <c r="D37" s="66"/>
      <c r="E37" s="67"/>
      <c r="F37" s="58"/>
      <c r="G37" s="28"/>
      <c r="H37" s="45"/>
      <c r="I37" s="51"/>
      <c r="J37" s="68"/>
      <c r="K37" s="69"/>
      <c r="L37" s="51"/>
    </row>
    <row r="38">
      <c r="A38" s="19" t="s">
        <v>38</v>
      </c>
      <c r="B38" s="56"/>
      <c r="C38" s="37"/>
      <c r="D38" s="57"/>
      <c r="E38" s="38"/>
      <c r="F38" s="58"/>
      <c r="G38" s="51"/>
      <c r="H38" s="49"/>
      <c r="I38" s="46"/>
      <c r="J38" s="47"/>
      <c r="K38" s="44"/>
      <c r="L38" s="48"/>
    </row>
    <row r="39">
      <c r="A39" s="72" t="s">
        <v>39</v>
      </c>
      <c r="B39" s="73"/>
      <c r="C39" s="74"/>
      <c r="D39" s="75"/>
      <c r="E39" s="76"/>
      <c r="F39" s="5"/>
      <c r="G39" s="8"/>
      <c r="H39" s="23"/>
      <c r="I39" s="39"/>
      <c r="J39" s="40"/>
      <c r="K39" s="17"/>
      <c r="L39" s="41"/>
    </row>
    <row r="40">
      <c r="A40" s="77"/>
      <c r="B40" s="73"/>
      <c r="C40" s="74"/>
      <c r="D40" s="75"/>
      <c r="E40" s="76"/>
      <c r="F40" s="5"/>
      <c r="G40" s="8"/>
      <c r="H40" s="23"/>
      <c r="I40" s="39"/>
      <c r="J40" s="40"/>
      <c r="K40" s="17"/>
      <c r="L40" s="41"/>
    </row>
  </sheetData>
  <mergeCells count="1">
    <mergeCell ref="B2:F2"/>
  </mergeCells>
  <dataValidations>
    <dataValidation type="list" allowBlank="1" showErrorMessage="1" sqref="B2">
      <formula1>"3x3,2x2,4x4,5x5,6x6,7x7,3BLD,FMC,OH,Clock,Minx,Pyraminx,Skewb,SQ1,4BLD,5BLD,FT,Magic,Mmagic,MBLD"</formula1>
    </dataValidation>
  </dataValidations>
  <hyperlinks>
    <hyperlink r:id="rId1" ref="A39"/>
  </hyperlinks>
  <drawing r:id="rId2"/>
  <tableParts count="2">
    <tablePart r:id="rId5"/>
    <tablePart r:id="rId6"/>
  </tableParts>
</worksheet>
</file>